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limavenetao365-my.sharepoint.com/personal/rentala_bharadwaj_climaveneta_in/Documents/Desktop/Ramya Imarticus Info/"/>
    </mc:Choice>
  </mc:AlternateContent>
  <xr:revisionPtr revIDLastSave="157" documentId="8_{C37D2FB3-A878-4944-9878-B2B6CF47FF92}" xr6:coauthVersionLast="47" xr6:coauthVersionMax="47" xr10:uidLastSave="{020CB314-7F64-42C6-AB0B-30BA87958C86}"/>
  <bookViews>
    <workbookView xWindow="-110" yWindow="-110" windowWidth="19420" windowHeight="10300" xr2:uid="{00000000-000D-0000-FFFF-FFFF00000000}"/>
  </bookViews>
  <sheets>
    <sheet name="Ex1" sheetId="1" r:id="rId1"/>
    <sheet name="Ex2" sheetId="2" r:id="rId2"/>
    <sheet name="Ex3" sheetId="4" r:id="rId3"/>
  </sheets>
  <definedNames>
    <definedName name="_xlnm._FilterDatabase" localSheetId="0" hidden="1">'Ex1'!$A$1:$Y$1000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ht4alWRFs1zp9w5XrszvZUmRj5dwKTVoXUMpzRO43d0="/>
    </ext>
  </extLst>
</workbook>
</file>

<file path=xl/calcChain.xml><?xml version="1.0" encoding="utf-8"?>
<calcChain xmlns="http://schemas.openxmlformats.org/spreadsheetml/2006/main">
  <c r="W21" i="1" l="1"/>
  <c r="W19" i="1"/>
  <c r="W17" i="1"/>
  <c r="W15" i="1"/>
  <c r="W13" i="1"/>
  <c r="W11" i="1" l="1"/>
  <c r="K16" i="1"/>
  <c r="K15" i="1"/>
  <c r="K14" i="1"/>
  <c r="K13" i="1"/>
  <c r="K12" i="1"/>
  <c r="B28" i="1"/>
  <c r="B27" i="1"/>
  <c r="B26" i="1"/>
  <c r="B25" i="1"/>
  <c r="B24" i="1"/>
  <c r="K24" i="1"/>
  <c r="K23" i="1"/>
  <c r="K22" i="1"/>
  <c r="K21" i="1"/>
  <c r="K20" i="1"/>
  <c r="L6" i="1"/>
  <c r="L5" i="1"/>
  <c r="L4" i="1"/>
</calcChain>
</file>

<file path=xl/sharedStrings.xml><?xml version="1.0" encoding="utf-8"?>
<sst xmlns="http://schemas.openxmlformats.org/spreadsheetml/2006/main" count="360" uniqueCount="119">
  <si>
    <t>Roll_No</t>
  </si>
  <si>
    <t>Name</t>
  </si>
  <si>
    <t>Lname</t>
  </si>
  <si>
    <t>Age</t>
  </si>
  <si>
    <t>City</t>
  </si>
  <si>
    <t>Subject</t>
  </si>
  <si>
    <t>Score</t>
  </si>
  <si>
    <t>Animesh</t>
  </si>
  <si>
    <t>Singh</t>
  </si>
  <si>
    <t>Delhi</t>
  </si>
  <si>
    <t>Python</t>
  </si>
  <si>
    <t>A1:G21</t>
  </si>
  <si>
    <t>Ankit</t>
  </si>
  <si>
    <t>Pandey</t>
  </si>
  <si>
    <t>Mumbai</t>
  </si>
  <si>
    <t>Tableau</t>
  </si>
  <si>
    <t>Funtion</t>
  </si>
  <si>
    <t>Result</t>
  </si>
  <si>
    <t>Formula</t>
  </si>
  <si>
    <t>Priya</t>
  </si>
  <si>
    <t>Gupta</t>
  </si>
  <si>
    <t>Noida</t>
  </si>
  <si>
    <t>SQL</t>
  </si>
  <si>
    <t>Count</t>
  </si>
  <si>
    <t>Count Student</t>
  </si>
  <si>
    <t>Anjali</t>
  </si>
  <si>
    <t>Verma</t>
  </si>
  <si>
    <t>ML</t>
  </si>
  <si>
    <t>Countblank</t>
  </si>
  <si>
    <t>Count Blank in LName</t>
  </si>
  <si>
    <t>Puklit</t>
  </si>
  <si>
    <t>Dubey</t>
  </si>
  <si>
    <t>Bangalore</t>
  </si>
  <si>
    <t>CountA</t>
  </si>
  <si>
    <t>Count of Non-null in Lname</t>
  </si>
  <si>
    <t>Nitesh</t>
  </si>
  <si>
    <t>Kumar</t>
  </si>
  <si>
    <t>AND</t>
  </si>
  <si>
    <t>Returns T when both conditions are T, otherwise F</t>
  </si>
  <si>
    <t>Ankush</t>
  </si>
  <si>
    <t>Singhla</t>
  </si>
  <si>
    <t>E2:E21</t>
  </si>
  <si>
    <t>OR</t>
  </si>
  <si>
    <t>Returns T when any one of the condition is T, otherwise F</t>
  </si>
  <si>
    <t>Dhruv</t>
  </si>
  <si>
    <t>Countif</t>
  </si>
  <si>
    <t>Age : D2</t>
  </si>
  <si>
    <t>Sub : F2</t>
  </si>
  <si>
    <t>City : E2</t>
  </si>
  <si>
    <t>Score : G2</t>
  </si>
  <si>
    <t>Name : B2</t>
  </si>
  <si>
    <t>Rahul</t>
  </si>
  <si>
    <t>Sharma</t>
  </si>
  <si>
    <t>Power BI</t>
  </si>
  <si>
    <t>City wise count of differrent Cities</t>
  </si>
  <si>
    <t>Countifs</t>
  </si>
  <si>
    <t>works on AND</t>
  </si>
  <si>
    <t>Vinay</t>
  </si>
  <si>
    <t>Countif Result</t>
  </si>
  <si>
    <t>Fun_Used</t>
  </si>
  <si>
    <t>Q1) Count of all the rows where Age&gt;25 and Subject is Python</t>
  </si>
  <si>
    <t>Ujjwal</t>
  </si>
  <si>
    <t>Paritosh</t>
  </si>
  <si>
    <t>Agarwal</t>
  </si>
  <si>
    <t>Q2) Count of all rows where Subject is Python or ML</t>
  </si>
  <si>
    <t>Twarita</t>
  </si>
  <si>
    <t>Nagar</t>
  </si>
  <si>
    <t>Utsav</t>
  </si>
  <si>
    <t>Dwivedi</t>
  </si>
  <si>
    <t>Pune</t>
  </si>
  <si>
    <t>Q3) Count all the rows where Score&gt;80 and City is not Delhi</t>
  </si>
  <si>
    <t>Neha</t>
  </si>
  <si>
    <t>Pulkit</t>
  </si>
  <si>
    <t>Jaiswal</t>
  </si>
  <si>
    <t>Q4) Count of Students who score between 70 and 80 (both inclusive)</t>
  </si>
  <si>
    <t>Akanksha</t>
  </si>
  <si>
    <t>Student Count for  different subjects</t>
  </si>
  <si>
    <t>Shreya</t>
  </si>
  <si>
    <t>Subjects</t>
  </si>
  <si>
    <t>Formula Used</t>
  </si>
  <si>
    <t>Q5) Count of Rows where Student name starts with A and Score less than 70</t>
  </si>
  <si>
    <t>Khushboo</t>
  </si>
  <si>
    <t>Abhishek</t>
  </si>
  <si>
    <t>Q6) Count of Rows where Student name starts and ends(Lname) with A</t>
  </si>
  <si>
    <t>sum</t>
  </si>
  <si>
    <t>min</t>
  </si>
  <si>
    <t xml:space="preserve">Q7) Count of Rows where Student First name is of 5 characters </t>
  </si>
  <si>
    <t>max</t>
  </si>
  <si>
    <t>count</t>
  </si>
  <si>
    <t>Count Unique</t>
  </si>
  <si>
    <t xml:space="preserve">Count </t>
  </si>
  <si>
    <t>avg</t>
  </si>
  <si>
    <t xml:space="preserve">Sum </t>
  </si>
  <si>
    <t>Sumif</t>
  </si>
  <si>
    <t>Sumifs</t>
  </si>
  <si>
    <t>Average</t>
  </si>
  <si>
    <t>Averageif</t>
  </si>
  <si>
    <t>Averageifs</t>
  </si>
  <si>
    <t>if</t>
  </si>
  <si>
    <t>and</t>
  </si>
  <si>
    <t>or</t>
  </si>
  <si>
    <t>Subject wise sum of Scores</t>
  </si>
  <si>
    <t>Sumif Result</t>
  </si>
  <si>
    <t>Formula_Used</t>
  </si>
  <si>
    <t xml:space="preserve"> works on AND</t>
  </si>
  <si>
    <t>Q1) Sum of Scores where City is Mumbai and Subject is ML</t>
  </si>
  <si>
    <t>Q2) Sum of Scores where City is Pune and Score&lt;80</t>
  </si>
  <si>
    <t>Q3) Sum of Score where Students Last Name ends with a and Subject is ML</t>
  </si>
  <si>
    <t>Q4) Sum of all Scores where Subject is Python or ML</t>
  </si>
  <si>
    <t>AvgScore</t>
  </si>
  <si>
    <t>Q1) Find Avg Score where City is Delhi and Age is more than 22</t>
  </si>
  <si>
    <t>Q2) Find AvgScore where City ends with 'i' and subject is ML</t>
  </si>
  <si>
    <t>Q3) Find AvgScore where Subject is Age is less than 25 and FirstName Starts with 'A'</t>
  </si>
  <si>
    <t>Q4) Find AvgScore where Age is between 23 and 25</t>
  </si>
  <si>
    <t>total sum of marks in Power BI</t>
  </si>
  <si>
    <t>Min of marks secured</t>
  </si>
  <si>
    <t>Max age if student who appreard for exam</t>
  </si>
  <si>
    <t>total count of students appeared for exam</t>
  </si>
  <si>
    <t>Avg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</si>
</sst>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FFE699"/>
        <bgColor rgb="FFFFE69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3" fillId="3" borderId="2" xfId="0" applyFont="1" applyFill="1" applyBorder="1"/>
    <xf numFmtId="0" fontId="3" fillId="0" borderId="0" xfId="0" applyFont="1" applyAlignment="1">
      <alignment horizontal="left"/>
    </xf>
    <xf numFmtId="0" fontId="1" fillId="4" borderId="2" xfId="0" applyFont="1" applyFill="1" applyBorder="1"/>
    <xf numFmtId="0" fontId="1" fillId="6" borderId="6" xfId="0" applyFont="1" applyFill="1" applyBorder="1"/>
    <xf numFmtId="0" fontId="1" fillId="6" borderId="1" xfId="0" applyFont="1" applyFill="1" applyBorder="1"/>
    <xf numFmtId="0" fontId="3" fillId="0" borderId="0" xfId="0" applyFont="1"/>
    <xf numFmtId="0" fontId="3" fillId="7" borderId="2" xfId="0" applyFont="1" applyFill="1" applyBorder="1"/>
    <xf numFmtId="0" fontId="1" fillId="0" borderId="0" xfId="0" applyFont="1" applyAlignment="1">
      <alignment horizontal="center"/>
    </xf>
    <xf numFmtId="0" fontId="1" fillId="8" borderId="2" xfId="0" applyFont="1" applyFill="1" applyBorder="1"/>
    <xf numFmtId="0" fontId="3" fillId="0" borderId="0" xfId="0" applyFont="1" applyAlignment="1">
      <alignment wrapText="1"/>
    </xf>
    <xf numFmtId="0" fontId="5" fillId="10" borderId="1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1" fillId="5" borderId="3" xfId="0" applyFont="1" applyFill="1" applyBorder="1" applyAlignment="1">
      <alignment horizontal="left"/>
    </xf>
    <xf numFmtId="0" fontId="4" fillId="0" borderId="4" xfId="0" applyFont="1" applyBorder="1"/>
    <xf numFmtId="0" fontId="4" fillId="0" borderId="5" xfId="0" applyFont="1" applyBorder="1"/>
    <xf numFmtId="0" fontId="3" fillId="3" borderId="7" xfId="0" applyFont="1" applyFill="1" applyBorder="1" applyAlignment="1">
      <alignment horizontal="left"/>
    </xf>
    <xf numFmtId="0" fontId="3" fillId="7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/>
    </xf>
    <xf numFmtId="0" fontId="1" fillId="5" borderId="3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4" fillId="0" borderId="9" xfId="0" applyFont="1" applyBorder="1"/>
    <xf numFmtId="0" fontId="4" fillId="0" borderId="10" xfId="0" applyFont="1" applyBorder="1"/>
    <xf numFmtId="0" fontId="1" fillId="6" borderId="11" xfId="0" applyFont="1" applyFill="1" applyBorder="1" applyAlignment="1">
      <alignment horizontal="center"/>
    </xf>
    <xf numFmtId="0" fontId="4" fillId="0" borderId="12" xfId="0" applyFont="1" applyBorder="1"/>
    <xf numFmtId="0" fontId="0" fillId="0" borderId="0" xfId="0" applyFont="1"/>
    <xf numFmtId="0" fontId="0" fillId="0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K8" zoomScale="89" zoomScaleNormal="89" workbookViewId="0">
      <selection activeCell="M21" sqref="M21"/>
    </sheetView>
  </sheetViews>
  <sheetFormatPr defaultColWidth="14.453125" defaultRowHeight="15" customHeight="1" x14ac:dyDescent="0.35"/>
  <cols>
    <col min="1" max="5" width="8.6328125" customWidth="1"/>
    <col min="6" max="6" width="11.54296875" customWidth="1"/>
    <col min="7" max="7" width="12.453125" customWidth="1"/>
    <col min="8" max="8" width="20.90625" customWidth="1"/>
    <col min="9" max="9" width="11.08984375" customWidth="1"/>
    <col min="10" max="10" width="26" customWidth="1"/>
    <col min="11" max="11" width="26.36328125" customWidth="1"/>
    <col min="12" max="12" width="23.453125" customWidth="1"/>
    <col min="13" max="14" width="8.6328125" customWidth="1"/>
    <col min="15" max="15" width="11.36328125" customWidth="1"/>
    <col min="16" max="26" width="8.6328125" customWidth="1"/>
  </cols>
  <sheetData>
    <row r="1" spans="1:2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5" ht="14.25" customHeight="1" x14ac:dyDescent="0.35">
      <c r="A2" s="2">
        <v>121</v>
      </c>
      <c r="B2" s="2" t="s">
        <v>7</v>
      </c>
      <c r="C2" s="2" t="s">
        <v>8</v>
      </c>
      <c r="D2" s="2">
        <v>22</v>
      </c>
      <c r="E2" s="2" t="s">
        <v>9</v>
      </c>
      <c r="F2" s="2" t="s">
        <v>10</v>
      </c>
      <c r="G2" s="2">
        <v>55</v>
      </c>
      <c r="J2" s="2" t="s">
        <v>11</v>
      </c>
    </row>
    <row r="3" spans="1:25" ht="14.25" customHeight="1" x14ac:dyDescent="0.35">
      <c r="A3" s="2">
        <v>122</v>
      </c>
      <c r="B3" s="2" t="s">
        <v>12</v>
      </c>
      <c r="C3" s="2" t="s">
        <v>13</v>
      </c>
      <c r="D3" s="2">
        <v>23</v>
      </c>
      <c r="E3" s="2" t="s">
        <v>14</v>
      </c>
      <c r="F3" s="2" t="s">
        <v>15</v>
      </c>
      <c r="G3" s="2">
        <v>63</v>
      </c>
      <c r="I3" s="3" t="s">
        <v>16</v>
      </c>
      <c r="K3" s="3" t="s">
        <v>17</v>
      </c>
      <c r="L3" s="2" t="s">
        <v>18</v>
      </c>
    </row>
    <row r="4" spans="1:25" ht="14.25" customHeight="1" x14ac:dyDescent="0.35">
      <c r="A4" s="2">
        <v>123</v>
      </c>
      <c r="B4" s="2" t="s">
        <v>19</v>
      </c>
      <c r="C4" s="2" t="s">
        <v>20</v>
      </c>
      <c r="D4" s="2">
        <v>24</v>
      </c>
      <c r="E4" s="2" t="s">
        <v>21</v>
      </c>
      <c r="F4" s="2" t="s">
        <v>22</v>
      </c>
      <c r="G4" s="2">
        <v>71</v>
      </c>
      <c r="I4" s="3" t="s">
        <v>23</v>
      </c>
      <c r="J4" s="2" t="s">
        <v>24</v>
      </c>
      <c r="K4" s="2">
        <v>20</v>
      </c>
      <c r="L4" s="4">
        <f>COUNT(A2:A21)</f>
        <v>20</v>
      </c>
      <c r="M4" s="24"/>
      <c r="N4" s="25"/>
      <c r="O4" s="25"/>
    </row>
    <row r="5" spans="1:25" ht="14.25" customHeight="1" x14ac:dyDescent="0.35">
      <c r="A5" s="2">
        <v>124</v>
      </c>
      <c r="B5" s="2" t="s">
        <v>25</v>
      </c>
      <c r="C5" s="2" t="s">
        <v>26</v>
      </c>
      <c r="D5" s="2">
        <v>21</v>
      </c>
      <c r="E5" s="2" t="s">
        <v>14</v>
      </c>
      <c r="F5" s="2" t="s">
        <v>27</v>
      </c>
      <c r="G5" s="2">
        <v>68</v>
      </c>
      <c r="I5" s="3" t="s">
        <v>28</v>
      </c>
      <c r="J5" s="2" t="s">
        <v>29</v>
      </c>
      <c r="K5" s="2">
        <v>2</v>
      </c>
      <c r="L5" s="4">
        <f>COUNTBLANK(C2:C21)</f>
        <v>2</v>
      </c>
    </row>
    <row r="6" spans="1:25" ht="14.25" customHeight="1" x14ac:dyDescent="0.35">
      <c r="A6" s="2">
        <v>125</v>
      </c>
      <c r="B6" s="2" t="s">
        <v>30</v>
      </c>
      <c r="C6" s="2" t="s">
        <v>31</v>
      </c>
      <c r="D6" s="2">
        <v>25</v>
      </c>
      <c r="E6" s="2" t="s">
        <v>32</v>
      </c>
      <c r="F6" s="2" t="s">
        <v>22</v>
      </c>
      <c r="G6" s="2">
        <v>74</v>
      </c>
      <c r="I6" s="3" t="s">
        <v>33</v>
      </c>
      <c r="J6" s="2" t="s">
        <v>34</v>
      </c>
      <c r="K6" s="2">
        <v>18</v>
      </c>
      <c r="L6" s="4">
        <f>COUNTA(C2:C21)</f>
        <v>18</v>
      </c>
    </row>
    <row r="7" spans="1:25" ht="14.25" customHeight="1" x14ac:dyDescent="0.35">
      <c r="A7" s="2">
        <v>126</v>
      </c>
      <c r="B7" s="2" t="s">
        <v>35</v>
      </c>
      <c r="C7" s="2" t="s">
        <v>36</v>
      </c>
      <c r="D7" s="2">
        <v>24</v>
      </c>
      <c r="E7" s="2" t="s">
        <v>9</v>
      </c>
      <c r="F7" s="2" t="s">
        <v>27</v>
      </c>
      <c r="G7" s="2">
        <v>81</v>
      </c>
      <c r="S7" s="2" t="s">
        <v>37</v>
      </c>
      <c r="T7" s="26" t="s">
        <v>38</v>
      </c>
      <c r="U7" s="25"/>
      <c r="V7" s="25"/>
      <c r="W7" s="25"/>
      <c r="X7" s="25"/>
      <c r="Y7" s="25"/>
    </row>
    <row r="8" spans="1:25" ht="14.25" customHeight="1" x14ac:dyDescent="0.35">
      <c r="A8" s="2">
        <v>127</v>
      </c>
      <c r="B8" s="2" t="s">
        <v>39</v>
      </c>
      <c r="C8" s="2" t="s">
        <v>40</v>
      </c>
      <c r="D8" s="2">
        <v>23</v>
      </c>
      <c r="E8" s="2" t="s">
        <v>14</v>
      </c>
      <c r="F8" s="2" t="s">
        <v>10</v>
      </c>
      <c r="G8" s="2">
        <v>83</v>
      </c>
      <c r="K8" s="2" t="s">
        <v>41</v>
      </c>
      <c r="S8" s="2" t="s">
        <v>42</v>
      </c>
      <c r="T8" s="26" t="s">
        <v>43</v>
      </c>
      <c r="U8" s="25"/>
      <c r="V8" s="25"/>
      <c r="W8" s="25"/>
      <c r="X8" s="25"/>
      <c r="Y8" s="25"/>
    </row>
    <row r="9" spans="1:25" ht="14.25" customHeight="1" x14ac:dyDescent="0.35">
      <c r="A9" s="2">
        <v>128</v>
      </c>
      <c r="B9" s="2" t="s">
        <v>44</v>
      </c>
      <c r="C9" s="2" t="s">
        <v>20</v>
      </c>
      <c r="D9" s="2">
        <v>24</v>
      </c>
      <c r="E9" s="2" t="s">
        <v>32</v>
      </c>
      <c r="F9" s="2" t="s">
        <v>15</v>
      </c>
      <c r="G9" s="2">
        <v>80</v>
      </c>
      <c r="I9" s="6" t="s">
        <v>45</v>
      </c>
      <c r="Q9" s="2" t="s">
        <v>46</v>
      </c>
      <c r="R9" s="2" t="s">
        <v>47</v>
      </c>
      <c r="S9" s="2" t="s">
        <v>48</v>
      </c>
      <c r="T9" s="2" t="s">
        <v>49</v>
      </c>
      <c r="U9" s="2" t="s">
        <v>50</v>
      </c>
    </row>
    <row r="10" spans="1:25" ht="14.25" customHeight="1" x14ac:dyDescent="0.35">
      <c r="A10" s="2">
        <v>129</v>
      </c>
      <c r="B10" s="2" t="s">
        <v>51</v>
      </c>
      <c r="C10" s="2" t="s">
        <v>52</v>
      </c>
      <c r="D10" s="2">
        <v>25</v>
      </c>
      <c r="E10" s="2" t="s">
        <v>21</v>
      </c>
      <c r="F10" s="2" t="s">
        <v>53</v>
      </c>
      <c r="G10" s="2">
        <v>74</v>
      </c>
      <c r="I10" s="27" t="s">
        <v>54</v>
      </c>
      <c r="J10" s="19"/>
      <c r="K10" s="19"/>
      <c r="L10" s="20"/>
      <c r="O10" s="6" t="s">
        <v>55</v>
      </c>
      <c r="P10" s="2" t="s">
        <v>56</v>
      </c>
    </row>
    <row r="11" spans="1:25" ht="14.25" customHeight="1" x14ac:dyDescent="0.35">
      <c r="A11" s="2">
        <v>130</v>
      </c>
      <c r="B11" s="2" t="s">
        <v>57</v>
      </c>
      <c r="D11" s="2">
        <v>27</v>
      </c>
      <c r="E11" s="2" t="s">
        <v>14</v>
      </c>
      <c r="F11" s="2" t="s">
        <v>27</v>
      </c>
      <c r="G11" s="2">
        <v>47</v>
      </c>
      <c r="I11" s="7" t="s">
        <v>4</v>
      </c>
      <c r="J11" s="8" t="s">
        <v>58</v>
      </c>
      <c r="K11" s="8" t="s">
        <v>59</v>
      </c>
      <c r="O11" s="22" t="s">
        <v>60</v>
      </c>
      <c r="P11" s="19"/>
      <c r="Q11" s="19"/>
      <c r="R11" s="19"/>
      <c r="S11" s="19"/>
      <c r="T11" s="19"/>
      <c r="U11" s="20"/>
      <c r="W11">
        <f>COUNTIFS(D2:D21,"&gt;25",F2:F21,"Python")</f>
        <v>1</v>
      </c>
    </row>
    <row r="12" spans="1:25" ht="14.25" customHeight="1" x14ac:dyDescent="0.35">
      <c r="A12" s="2">
        <v>131</v>
      </c>
      <c r="B12" s="2" t="s">
        <v>61</v>
      </c>
      <c r="C12" s="2" t="s">
        <v>8</v>
      </c>
      <c r="D12" s="2">
        <v>28</v>
      </c>
      <c r="E12" s="2" t="s">
        <v>21</v>
      </c>
      <c r="F12" s="2" t="s">
        <v>53</v>
      </c>
      <c r="G12" s="2">
        <v>91</v>
      </c>
      <c r="I12" s="2" t="s">
        <v>9</v>
      </c>
      <c r="J12" s="2">
        <v>4</v>
      </c>
      <c r="K12" s="9">
        <f>COUNTIF(E2:E21,"Delhi")</f>
        <v>4</v>
      </c>
      <c r="O12" s="2"/>
      <c r="Q12" s="4"/>
      <c r="R12" s="4"/>
      <c r="S12" s="4"/>
      <c r="T12" s="4"/>
      <c r="U12" s="4"/>
    </row>
    <row r="13" spans="1:25" ht="14.25" customHeight="1" x14ac:dyDescent="0.35">
      <c r="A13" s="2">
        <v>132</v>
      </c>
      <c r="B13" s="2" t="s">
        <v>62</v>
      </c>
      <c r="C13" s="2" t="s">
        <v>63</v>
      </c>
      <c r="D13" s="2">
        <v>26</v>
      </c>
      <c r="E13" s="2" t="s">
        <v>32</v>
      </c>
      <c r="F13" s="2" t="s">
        <v>27</v>
      </c>
      <c r="G13" s="2">
        <v>72</v>
      </c>
      <c r="I13" s="2" t="s">
        <v>14</v>
      </c>
      <c r="J13" s="2">
        <v>5</v>
      </c>
      <c r="K13" s="9">
        <f>COUNTIF(E2:E21,"Mumbai")</f>
        <v>5</v>
      </c>
      <c r="O13" s="22" t="s">
        <v>64</v>
      </c>
      <c r="P13" s="19"/>
      <c r="Q13" s="19"/>
      <c r="R13" s="19"/>
      <c r="S13" s="19"/>
      <c r="T13" s="19"/>
      <c r="U13" s="20"/>
      <c r="W13">
        <f>COUNTIF(F2:F21,"Python")+COUNTIF(F2:F21,"ML")</f>
        <v>11</v>
      </c>
    </row>
    <row r="14" spans="1:25" ht="14.25" customHeight="1" x14ac:dyDescent="0.35">
      <c r="A14" s="2">
        <v>133</v>
      </c>
      <c r="B14" s="2" t="s">
        <v>65</v>
      </c>
      <c r="C14" s="2" t="s">
        <v>66</v>
      </c>
      <c r="D14" s="2">
        <v>23</v>
      </c>
      <c r="E14" s="2" t="s">
        <v>9</v>
      </c>
      <c r="F14" s="2" t="s">
        <v>22</v>
      </c>
      <c r="G14" s="2">
        <v>87</v>
      </c>
      <c r="I14" s="2" t="s">
        <v>21</v>
      </c>
      <c r="J14" s="2">
        <v>5</v>
      </c>
      <c r="K14" s="9">
        <f>COUNTIF(E3:E22,"Noida")</f>
        <v>5</v>
      </c>
      <c r="O14" s="2"/>
      <c r="Q14" s="21"/>
      <c r="R14" s="19"/>
      <c r="S14" s="19"/>
      <c r="T14" s="19"/>
      <c r="U14" s="19"/>
      <c r="V14" s="20"/>
    </row>
    <row r="15" spans="1:25" ht="14.25" customHeight="1" x14ac:dyDescent="0.35">
      <c r="A15" s="2">
        <v>134</v>
      </c>
      <c r="B15" s="2" t="s">
        <v>67</v>
      </c>
      <c r="C15" s="2" t="s">
        <v>68</v>
      </c>
      <c r="D15" s="2">
        <v>22</v>
      </c>
      <c r="E15" s="2" t="s">
        <v>21</v>
      </c>
      <c r="F15" s="2" t="s">
        <v>15</v>
      </c>
      <c r="G15" s="2">
        <v>79</v>
      </c>
      <c r="I15" s="2" t="s">
        <v>69</v>
      </c>
      <c r="J15" s="35">
        <v>2</v>
      </c>
      <c r="K15" s="9">
        <f>COUNTIF(E2:E21,"Pune")</f>
        <v>2</v>
      </c>
      <c r="O15" s="22" t="s">
        <v>70</v>
      </c>
      <c r="P15" s="19"/>
      <c r="Q15" s="19"/>
      <c r="R15" s="19"/>
      <c r="S15" s="19"/>
      <c r="T15" s="19"/>
      <c r="U15" s="20"/>
      <c r="W15">
        <f>COUNTIFS(G2:G21,"&gt;80",E2:E21,"&lt;&gt;Delhi")</f>
        <v>3</v>
      </c>
    </row>
    <row r="16" spans="1:25" ht="14.25" customHeight="1" x14ac:dyDescent="0.35">
      <c r="A16" s="2">
        <v>135</v>
      </c>
      <c r="B16" s="2" t="s">
        <v>71</v>
      </c>
      <c r="D16" s="2">
        <v>24</v>
      </c>
      <c r="E16" s="2" t="s">
        <v>9</v>
      </c>
      <c r="F16" s="2" t="s">
        <v>27</v>
      </c>
      <c r="G16" s="2">
        <v>81</v>
      </c>
      <c r="I16" s="2" t="s">
        <v>32</v>
      </c>
      <c r="J16" s="35">
        <v>4</v>
      </c>
      <c r="K16" s="9">
        <f>COUNTIF(E2:E21,"Bangalore")</f>
        <v>4</v>
      </c>
      <c r="O16" s="2"/>
      <c r="Q16" s="21"/>
      <c r="R16" s="19"/>
      <c r="S16" s="19"/>
      <c r="T16" s="19"/>
      <c r="U16" s="20"/>
      <c r="V16" s="2"/>
      <c r="W16" s="2"/>
    </row>
    <row r="17" spans="1:25" ht="14.25" customHeight="1" x14ac:dyDescent="0.35">
      <c r="A17" s="2">
        <v>136</v>
      </c>
      <c r="B17" s="2" t="s">
        <v>72</v>
      </c>
      <c r="C17" s="2" t="s">
        <v>73</v>
      </c>
      <c r="D17" s="2">
        <v>25</v>
      </c>
      <c r="E17" s="2" t="s">
        <v>14</v>
      </c>
      <c r="F17" s="2" t="s">
        <v>10</v>
      </c>
      <c r="G17" s="2">
        <v>56</v>
      </c>
      <c r="O17" s="10" t="s">
        <v>74</v>
      </c>
      <c r="P17" s="10"/>
      <c r="Q17" s="10"/>
      <c r="R17" s="10"/>
      <c r="S17" s="10"/>
      <c r="T17" s="10"/>
      <c r="U17" s="10"/>
      <c r="W17">
        <f>COUNTIFS(G2:G21,"&gt;=70", G2:G21,"&lt;=80")</f>
        <v>8</v>
      </c>
    </row>
    <row r="18" spans="1:25" ht="14.25" customHeight="1" x14ac:dyDescent="0.35">
      <c r="A18" s="2">
        <v>137</v>
      </c>
      <c r="B18" s="2" t="s">
        <v>75</v>
      </c>
      <c r="C18" s="2" t="s">
        <v>63</v>
      </c>
      <c r="D18" s="2">
        <v>21</v>
      </c>
      <c r="E18" s="2" t="s">
        <v>32</v>
      </c>
      <c r="F18" s="2" t="s">
        <v>27</v>
      </c>
      <c r="G18" s="2">
        <v>49</v>
      </c>
      <c r="I18" s="18" t="s">
        <v>76</v>
      </c>
      <c r="J18" s="19"/>
      <c r="K18" s="20"/>
      <c r="L18" s="11"/>
      <c r="O18" s="2"/>
      <c r="Q18" s="21"/>
      <c r="R18" s="19"/>
      <c r="S18" s="19"/>
      <c r="T18" s="19"/>
      <c r="U18" s="20"/>
      <c r="W18" s="3"/>
    </row>
    <row r="19" spans="1:25" ht="14.25" customHeight="1" x14ac:dyDescent="0.35">
      <c r="A19" s="2">
        <v>138</v>
      </c>
      <c r="B19" s="2" t="s">
        <v>77</v>
      </c>
      <c r="C19" s="2" t="s">
        <v>8</v>
      </c>
      <c r="D19" s="2">
        <v>26</v>
      </c>
      <c r="E19" s="2" t="s">
        <v>69</v>
      </c>
      <c r="F19" s="2" t="s">
        <v>10</v>
      </c>
      <c r="G19" s="2">
        <v>73</v>
      </c>
      <c r="I19" s="3" t="s">
        <v>78</v>
      </c>
      <c r="J19" s="3" t="s">
        <v>23</v>
      </c>
      <c r="K19" s="3" t="s">
        <v>79</v>
      </c>
      <c r="O19" s="22" t="s">
        <v>80</v>
      </c>
      <c r="P19" s="19"/>
      <c r="Q19" s="19"/>
      <c r="R19" s="19"/>
      <c r="S19" s="19"/>
      <c r="T19" s="19"/>
      <c r="U19" s="19"/>
      <c r="V19" s="20"/>
      <c r="W19" s="2">
        <f>COUNTIFS(B2:B21,"A*", G2:G21,"&lt;70")</f>
        <v>4</v>
      </c>
      <c r="X19" s="2"/>
    </row>
    <row r="20" spans="1:25" ht="14.25" customHeight="1" x14ac:dyDescent="0.35">
      <c r="A20" s="2">
        <v>139</v>
      </c>
      <c r="B20" s="2" t="s">
        <v>81</v>
      </c>
      <c r="C20" s="2" t="s">
        <v>13</v>
      </c>
      <c r="D20" s="2">
        <v>24</v>
      </c>
      <c r="E20" s="2" t="s">
        <v>69</v>
      </c>
      <c r="F20" s="2" t="s">
        <v>22</v>
      </c>
      <c r="G20" s="2">
        <v>76</v>
      </c>
      <c r="I20" s="2" t="s">
        <v>22</v>
      </c>
      <c r="J20" s="2">
        <v>4</v>
      </c>
      <c r="K20" s="2">
        <f>COUNTIF(F2:F21,"SQL")</f>
        <v>4</v>
      </c>
      <c r="O20" s="2"/>
      <c r="Q20" s="21"/>
      <c r="R20" s="19"/>
      <c r="S20" s="19"/>
      <c r="T20" s="19"/>
      <c r="U20" s="19"/>
      <c r="V20" s="20"/>
      <c r="W20" s="2"/>
      <c r="X20" s="2"/>
    </row>
    <row r="21" spans="1:25" ht="14.25" customHeight="1" x14ac:dyDescent="0.35">
      <c r="A21" s="2">
        <v>140</v>
      </c>
      <c r="B21" s="2" t="s">
        <v>82</v>
      </c>
      <c r="C21" s="2" t="s">
        <v>8</v>
      </c>
      <c r="D21" s="2">
        <v>23</v>
      </c>
      <c r="E21" s="2" t="s">
        <v>21</v>
      </c>
      <c r="F21" s="2" t="s">
        <v>10</v>
      </c>
      <c r="G21" s="2">
        <v>82</v>
      </c>
      <c r="I21" s="2" t="s">
        <v>15</v>
      </c>
      <c r="J21" s="2">
        <v>3</v>
      </c>
      <c r="K21" s="2">
        <f>COUNTIF(F3:F22,"Tableau")</f>
        <v>3</v>
      </c>
      <c r="O21" s="22" t="s">
        <v>83</v>
      </c>
      <c r="P21" s="19"/>
      <c r="Q21" s="19"/>
      <c r="R21" s="19"/>
      <c r="S21" s="19"/>
      <c r="T21" s="19"/>
      <c r="U21" s="20"/>
      <c r="W21">
        <f>COUNTIFS(B2:B21,"A*",C2:C21,"*A")</f>
        <v>2</v>
      </c>
    </row>
    <row r="22" spans="1:25" ht="14.25" customHeight="1" x14ac:dyDescent="0.35">
      <c r="I22" s="2" t="s">
        <v>53</v>
      </c>
      <c r="J22" s="2">
        <v>2</v>
      </c>
      <c r="K22" s="2">
        <f>COUNTIF(F4:F23,"Tableau")</f>
        <v>2</v>
      </c>
      <c r="O22" s="2"/>
      <c r="Q22" s="23"/>
      <c r="R22" s="19"/>
      <c r="S22" s="19"/>
      <c r="T22" s="20"/>
    </row>
    <row r="23" spans="1:25" ht="14.25" customHeight="1" x14ac:dyDescent="0.35">
      <c r="I23" s="2" t="s">
        <v>27</v>
      </c>
      <c r="J23" s="34">
        <v>6</v>
      </c>
      <c r="K23" s="2">
        <f>COUNTIF(F5:F24,"ML")</f>
        <v>6</v>
      </c>
    </row>
    <row r="24" spans="1:25" ht="14.25" customHeight="1" x14ac:dyDescent="0.35">
      <c r="A24" s="2" t="s">
        <v>84</v>
      </c>
      <c r="B24">
        <f>SUM(G10,G12)</f>
        <v>165</v>
      </c>
      <c r="C24" t="s">
        <v>114</v>
      </c>
      <c r="F24" s="2"/>
      <c r="G24" s="2"/>
      <c r="H24" s="2"/>
      <c r="I24" s="2" t="s">
        <v>10</v>
      </c>
      <c r="J24" s="34">
        <v>5</v>
      </c>
      <c r="K24" s="2">
        <f>COUNTIF(F6:F25,"ML")</f>
        <v>5</v>
      </c>
    </row>
    <row r="25" spans="1:25" ht="14.25" customHeight="1" x14ac:dyDescent="0.35">
      <c r="A25" s="2" t="s">
        <v>85</v>
      </c>
      <c r="B25">
        <f>MIN(G2:G21)</f>
        <v>47</v>
      </c>
      <c r="C25" t="s">
        <v>115</v>
      </c>
      <c r="F25" s="2"/>
      <c r="G25" s="2"/>
      <c r="H25" s="2"/>
      <c r="O25" s="22" t="s">
        <v>86</v>
      </c>
      <c r="P25" s="19"/>
      <c r="Q25" s="19"/>
      <c r="R25" s="19"/>
      <c r="S25" s="19"/>
      <c r="T25" s="19"/>
      <c r="U25" s="20"/>
      <c r="V25" s="5"/>
    </row>
    <row r="26" spans="1:25" ht="14.25" customHeight="1" x14ac:dyDescent="0.35">
      <c r="A26" s="2" t="s">
        <v>87</v>
      </c>
      <c r="B26">
        <f>MAX(D2:D21)</f>
        <v>28</v>
      </c>
      <c r="C26" t="s">
        <v>116</v>
      </c>
      <c r="F26" s="2"/>
      <c r="G26" s="2"/>
      <c r="H26" s="2"/>
      <c r="O26" s="2"/>
      <c r="Q26" s="23"/>
      <c r="R26" s="19"/>
      <c r="S26" s="20"/>
    </row>
    <row r="27" spans="1:25" ht="14.25" customHeight="1" x14ac:dyDescent="0.35">
      <c r="A27" s="2" t="s">
        <v>88</v>
      </c>
      <c r="B27">
        <f>COUNT(A2:A21)</f>
        <v>20</v>
      </c>
      <c r="C27" t="s">
        <v>117</v>
      </c>
      <c r="F27" s="2"/>
      <c r="G27" s="2"/>
      <c r="H27" s="2"/>
      <c r="I27" s="3" t="s">
        <v>89</v>
      </c>
      <c r="W27" s="2" t="s">
        <v>90</v>
      </c>
      <c r="X27" s="2" t="s">
        <v>45</v>
      </c>
      <c r="Y27" s="2" t="s">
        <v>55</v>
      </c>
    </row>
    <row r="28" spans="1:25" ht="14.25" customHeight="1" x14ac:dyDescent="0.35">
      <c r="A28" s="2" t="s">
        <v>91</v>
      </c>
      <c r="B28">
        <f>AVERAGE(G2:G21)</f>
        <v>72.099999999999994</v>
      </c>
      <c r="C28" t="s">
        <v>118</v>
      </c>
      <c r="F28" s="2"/>
      <c r="G28" s="2"/>
      <c r="H28" s="2"/>
      <c r="J28" s="4"/>
      <c r="W28" s="2" t="s">
        <v>92</v>
      </c>
      <c r="X28" s="2" t="s">
        <v>93</v>
      </c>
      <c r="Y28" s="2" t="s">
        <v>94</v>
      </c>
    </row>
    <row r="29" spans="1:25" ht="14.25" customHeight="1" x14ac:dyDescent="0.35">
      <c r="J29" s="4"/>
      <c r="W29" s="2" t="s">
        <v>95</v>
      </c>
      <c r="X29" s="2" t="s">
        <v>96</v>
      </c>
      <c r="Y29" s="2" t="s">
        <v>97</v>
      </c>
    </row>
    <row r="30" spans="1:25" ht="14.25" customHeight="1" x14ac:dyDescent="0.35">
      <c r="W30" s="2" t="s">
        <v>98</v>
      </c>
      <c r="X30" s="2" t="s">
        <v>99</v>
      </c>
      <c r="Y30" s="2" t="s">
        <v>100</v>
      </c>
    </row>
    <row r="31" spans="1:25" ht="14.25" customHeight="1" x14ac:dyDescent="0.35">
      <c r="G31" s="2"/>
    </row>
    <row r="32" spans="1:25" ht="14.25" customHeight="1" x14ac:dyDescent="0.35">
      <c r="G32" s="2"/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Y1000" xr:uid="{00000000-0001-0000-0000-000000000000}"/>
  <mergeCells count="17">
    <mergeCell ref="M4:O4"/>
    <mergeCell ref="T7:Y7"/>
    <mergeCell ref="T8:Y8"/>
    <mergeCell ref="I10:L10"/>
    <mergeCell ref="O11:U11"/>
    <mergeCell ref="O13:U13"/>
    <mergeCell ref="Q14:V14"/>
    <mergeCell ref="Q22:T22"/>
    <mergeCell ref="O25:U25"/>
    <mergeCell ref="Q26:S26"/>
    <mergeCell ref="O15:U15"/>
    <mergeCell ref="Q16:U16"/>
    <mergeCell ref="I18:K18"/>
    <mergeCell ref="Q18:U18"/>
    <mergeCell ref="O19:V19"/>
    <mergeCell ref="Q20:V20"/>
    <mergeCell ref="O21:U2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topLeftCell="A8" workbookViewId="0">
      <selection activeCell="H25" sqref="H25"/>
    </sheetView>
  </sheetViews>
  <sheetFormatPr defaultColWidth="14.453125" defaultRowHeight="15" customHeight="1" x14ac:dyDescent="0.35"/>
  <cols>
    <col min="1" max="10" width="8.6328125" customWidth="1"/>
    <col min="11" max="11" width="13.6328125" customWidth="1"/>
    <col min="12" max="26" width="8.63281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6" ht="14.25" customHeight="1" x14ac:dyDescent="0.35">
      <c r="A2" s="2">
        <v>121</v>
      </c>
      <c r="B2" s="2" t="s">
        <v>7</v>
      </c>
      <c r="C2" s="2" t="s">
        <v>8</v>
      </c>
      <c r="D2" s="2">
        <v>22</v>
      </c>
      <c r="E2" s="2" t="s">
        <v>9</v>
      </c>
      <c r="F2" s="2" t="s">
        <v>10</v>
      </c>
      <c r="G2" s="2">
        <v>55</v>
      </c>
      <c r="J2" s="12" t="s">
        <v>93</v>
      </c>
    </row>
    <row r="3" spans="1:16" ht="14.25" customHeight="1" x14ac:dyDescent="0.35">
      <c r="A3" s="2">
        <v>122</v>
      </c>
      <c r="B3" s="2" t="s">
        <v>12</v>
      </c>
      <c r="C3" s="2" t="s">
        <v>13</v>
      </c>
      <c r="D3" s="2">
        <v>23</v>
      </c>
      <c r="E3" s="2" t="s">
        <v>14</v>
      </c>
      <c r="F3" s="2" t="s">
        <v>15</v>
      </c>
      <c r="G3" s="2">
        <v>63</v>
      </c>
      <c r="J3" s="29" t="s">
        <v>101</v>
      </c>
      <c r="K3" s="30"/>
      <c r="L3" s="31"/>
    </row>
    <row r="4" spans="1:16" ht="14.25" customHeight="1" x14ac:dyDescent="0.35">
      <c r="A4" s="2">
        <v>123</v>
      </c>
      <c r="B4" s="2" t="s">
        <v>19</v>
      </c>
      <c r="C4" s="2" t="s">
        <v>20</v>
      </c>
      <c r="D4" s="2">
        <v>24</v>
      </c>
      <c r="E4" s="2" t="s">
        <v>21</v>
      </c>
      <c r="F4" s="2" t="s">
        <v>22</v>
      </c>
      <c r="G4" s="2">
        <v>71</v>
      </c>
      <c r="J4" s="8" t="s">
        <v>78</v>
      </c>
      <c r="K4" s="8" t="s">
        <v>102</v>
      </c>
      <c r="L4" s="32" t="s">
        <v>103</v>
      </c>
      <c r="M4" s="33"/>
    </row>
    <row r="5" spans="1:16" ht="14.25" customHeight="1" x14ac:dyDescent="0.35">
      <c r="A5" s="2">
        <v>124</v>
      </c>
      <c r="B5" s="2" t="s">
        <v>25</v>
      </c>
      <c r="C5" s="2" t="s">
        <v>26</v>
      </c>
      <c r="D5" s="2">
        <v>21</v>
      </c>
      <c r="E5" s="2" t="s">
        <v>14</v>
      </c>
      <c r="F5" s="2" t="s">
        <v>27</v>
      </c>
      <c r="G5" s="2">
        <v>68</v>
      </c>
      <c r="J5" s="2" t="s">
        <v>10</v>
      </c>
      <c r="L5" s="9"/>
      <c r="M5" s="9"/>
      <c r="N5" s="9"/>
      <c r="O5" s="9"/>
    </row>
    <row r="6" spans="1:16" ht="14.25" customHeight="1" x14ac:dyDescent="0.35">
      <c r="A6" s="2">
        <v>125</v>
      </c>
      <c r="B6" s="2" t="s">
        <v>30</v>
      </c>
      <c r="C6" s="2" t="s">
        <v>31</v>
      </c>
      <c r="D6" s="2">
        <v>25</v>
      </c>
      <c r="E6" s="2" t="s">
        <v>32</v>
      </c>
      <c r="F6" s="2" t="s">
        <v>22</v>
      </c>
      <c r="G6" s="2">
        <v>74</v>
      </c>
      <c r="J6" s="2" t="s">
        <v>27</v>
      </c>
      <c r="L6" s="13"/>
      <c r="M6" s="13"/>
      <c r="N6" s="13"/>
      <c r="O6" s="13"/>
    </row>
    <row r="7" spans="1:16" ht="14.25" customHeight="1" x14ac:dyDescent="0.35">
      <c r="A7" s="2">
        <v>126</v>
      </c>
      <c r="B7" s="2" t="s">
        <v>35</v>
      </c>
      <c r="C7" s="2" t="s">
        <v>36</v>
      </c>
      <c r="D7" s="2">
        <v>24</v>
      </c>
      <c r="E7" s="2" t="s">
        <v>9</v>
      </c>
      <c r="F7" s="2" t="s">
        <v>27</v>
      </c>
      <c r="G7" s="2">
        <v>81</v>
      </c>
      <c r="J7" s="2" t="s">
        <v>53</v>
      </c>
      <c r="L7" s="13"/>
      <c r="M7" s="13"/>
      <c r="N7" s="13"/>
      <c r="O7" s="13"/>
    </row>
    <row r="8" spans="1:16" ht="14.25" customHeight="1" x14ac:dyDescent="0.35">
      <c r="A8" s="2">
        <v>127</v>
      </c>
      <c r="B8" s="2" t="s">
        <v>39</v>
      </c>
      <c r="C8" s="2" t="s">
        <v>40</v>
      </c>
      <c r="D8" s="2">
        <v>23</v>
      </c>
      <c r="E8" s="2" t="s">
        <v>14</v>
      </c>
      <c r="F8" s="2" t="s">
        <v>10</v>
      </c>
      <c r="G8" s="2">
        <v>83</v>
      </c>
      <c r="J8" s="2" t="s">
        <v>22</v>
      </c>
      <c r="L8" s="13"/>
      <c r="M8" s="13"/>
      <c r="N8" s="13"/>
      <c r="O8" s="13"/>
    </row>
    <row r="9" spans="1:16" ht="14.25" customHeight="1" x14ac:dyDescent="0.35">
      <c r="A9" s="2">
        <v>128</v>
      </c>
      <c r="B9" s="2" t="s">
        <v>44</v>
      </c>
      <c r="C9" s="2" t="s">
        <v>20</v>
      </c>
      <c r="D9" s="2">
        <v>24</v>
      </c>
      <c r="E9" s="2" t="s">
        <v>32</v>
      </c>
      <c r="F9" s="2" t="s">
        <v>15</v>
      </c>
      <c r="G9" s="2">
        <v>80</v>
      </c>
      <c r="J9" s="2" t="s">
        <v>15</v>
      </c>
      <c r="L9" s="13"/>
      <c r="M9" s="13"/>
      <c r="N9" s="13"/>
      <c r="O9" s="13"/>
    </row>
    <row r="10" spans="1:16" ht="14.25" customHeight="1" x14ac:dyDescent="0.35">
      <c r="A10" s="2">
        <v>129</v>
      </c>
      <c r="B10" s="2" t="s">
        <v>51</v>
      </c>
      <c r="C10" s="2" t="s">
        <v>52</v>
      </c>
      <c r="D10" s="2">
        <v>25</v>
      </c>
      <c r="E10" s="2" t="s">
        <v>21</v>
      </c>
      <c r="F10" s="2" t="s">
        <v>53</v>
      </c>
      <c r="G10" s="2">
        <v>74</v>
      </c>
    </row>
    <row r="11" spans="1:16" ht="14.25" customHeight="1" x14ac:dyDescent="0.35">
      <c r="A11" s="2">
        <v>130</v>
      </c>
      <c r="B11" s="2" t="s">
        <v>57</v>
      </c>
      <c r="D11" s="2">
        <v>27</v>
      </c>
      <c r="E11" s="2" t="s">
        <v>14</v>
      </c>
      <c r="F11" s="2" t="s">
        <v>27</v>
      </c>
      <c r="G11" s="2">
        <v>47</v>
      </c>
    </row>
    <row r="12" spans="1:16" ht="14.25" customHeight="1" x14ac:dyDescent="0.35">
      <c r="A12" s="2">
        <v>131</v>
      </c>
      <c r="B12" s="2" t="s">
        <v>61</v>
      </c>
      <c r="C12" s="2" t="s">
        <v>8</v>
      </c>
      <c r="D12" s="2">
        <v>28</v>
      </c>
      <c r="E12" s="2" t="s">
        <v>21</v>
      </c>
      <c r="F12" s="2" t="s">
        <v>53</v>
      </c>
      <c r="G12" s="2">
        <v>91</v>
      </c>
      <c r="J12" s="6" t="s">
        <v>94</v>
      </c>
      <c r="K12" s="2" t="s">
        <v>104</v>
      </c>
    </row>
    <row r="13" spans="1:16" ht="14.25" customHeight="1" x14ac:dyDescent="0.35">
      <c r="A13" s="2">
        <v>132</v>
      </c>
      <c r="B13" s="2" t="s">
        <v>62</v>
      </c>
      <c r="C13" s="2" t="s">
        <v>63</v>
      </c>
      <c r="D13" s="2">
        <v>26</v>
      </c>
      <c r="E13" s="2" t="s">
        <v>32</v>
      </c>
      <c r="F13" s="2" t="s">
        <v>27</v>
      </c>
      <c r="G13" s="2">
        <v>72</v>
      </c>
      <c r="J13" s="28" t="s">
        <v>105</v>
      </c>
      <c r="K13" s="19"/>
      <c r="L13" s="19"/>
      <c r="M13" s="19"/>
      <c r="N13" s="19"/>
      <c r="O13" s="19"/>
      <c r="P13" s="20"/>
    </row>
    <row r="14" spans="1:16" ht="14.25" customHeight="1" x14ac:dyDescent="0.35">
      <c r="A14" s="2">
        <v>133</v>
      </c>
      <c r="B14" s="2" t="s">
        <v>65</v>
      </c>
      <c r="C14" s="2" t="s">
        <v>66</v>
      </c>
      <c r="D14" s="2">
        <v>23</v>
      </c>
      <c r="E14" s="2" t="s">
        <v>9</v>
      </c>
      <c r="F14" s="2" t="s">
        <v>22</v>
      </c>
      <c r="G14" s="2">
        <v>87</v>
      </c>
      <c r="L14" s="21"/>
      <c r="M14" s="19"/>
      <c r="N14" s="19"/>
      <c r="O14" s="19"/>
      <c r="P14" s="20"/>
    </row>
    <row r="15" spans="1:16" ht="14.25" customHeight="1" x14ac:dyDescent="0.35">
      <c r="A15" s="2">
        <v>134</v>
      </c>
      <c r="B15" s="2" t="s">
        <v>67</v>
      </c>
      <c r="C15" s="2" t="s">
        <v>68</v>
      </c>
      <c r="D15" s="2">
        <v>22</v>
      </c>
      <c r="E15" s="2" t="s">
        <v>21</v>
      </c>
      <c r="F15" s="2" t="s">
        <v>15</v>
      </c>
      <c r="G15" s="2">
        <v>79</v>
      </c>
      <c r="J15" s="28" t="s">
        <v>106</v>
      </c>
      <c r="K15" s="19"/>
      <c r="L15" s="19"/>
      <c r="M15" s="19"/>
      <c r="N15" s="19"/>
      <c r="O15" s="19"/>
      <c r="P15" s="20"/>
    </row>
    <row r="16" spans="1:16" ht="14.25" customHeight="1" x14ac:dyDescent="0.35">
      <c r="A16" s="2">
        <v>135</v>
      </c>
      <c r="B16" s="2" t="s">
        <v>71</v>
      </c>
      <c r="D16" s="2">
        <v>24</v>
      </c>
      <c r="E16" s="2" t="s">
        <v>9</v>
      </c>
      <c r="F16" s="2" t="s">
        <v>27</v>
      </c>
      <c r="G16" s="2">
        <v>81</v>
      </c>
      <c r="L16" s="21"/>
      <c r="M16" s="19"/>
      <c r="N16" s="19"/>
      <c r="O16" s="19"/>
      <c r="P16" s="20"/>
    </row>
    <row r="17" spans="1:18" ht="14.25" customHeight="1" x14ac:dyDescent="0.35">
      <c r="A17" s="2">
        <v>136</v>
      </c>
      <c r="B17" s="2" t="s">
        <v>72</v>
      </c>
      <c r="C17" s="2" t="s">
        <v>73</v>
      </c>
      <c r="D17" s="2">
        <v>25</v>
      </c>
      <c r="E17" s="2" t="s">
        <v>14</v>
      </c>
      <c r="F17" s="2" t="s">
        <v>10</v>
      </c>
      <c r="G17" s="2">
        <v>56</v>
      </c>
      <c r="J17" s="28" t="s">
        <v>107</v>
      </c>
      <c r="K17" s="19"/>
      <c r="L17" s="19"/>
      <c r="M17" s="19"/>
      <c r="N17" s="19"/>
      <c r="O17" s="19"/>
      <c r="P17" s="20"/>
    </row>
    <row r="18" spans="1:18" ht="14.25" customHeight="1" x14ac:dyDescent="0.35">
      <c r="A18" s="2">
        <v>137</v>
      </c>
      <c r="B18" s="2" t="s">
        <v>75</v>
      </c>
      <c r="C18" s="2" t="s">
        <v>63</v>
      </c>
      <c r="D18" s="2">
        <v>21</v>
      </c>
      <c r="E18" s="2" t="s">
        <v>32</v>
      </c>
      <c r="F18" s="2" t="s">
        <v>27</v>
      </c>
      <c r="G18" s="2">
        <v>49</v>
      </c>
      <c r="L18" s="21"/>
      <c r="M18" s="19"/>
      <c r="N18" s="19"/>
      <c r="O18" s="19"/>
      <c r="P18" s="20"/>
    </row>
    <row r="19" spans="1:18" ht="14.25" customHeight="1" x14ac:dyDescent="0.35">
      <c r="A19" s="2">
        <v>138</v>
      </c>
      <c r="B19" s="2" t="s">
        <v>77</v>
      </c>
      <c r="C19" s="2" t="s">
        <v>8</v>
      </c>
      <c r="D19" s="2">
        <v>26</v>
      </c>
      <c r="E19" s="2" t="s">
        <v>69</v>
      </c>
      <c r="F19" s="2" t="s">
        <v>10</v>
      </c>
      <c r="G19" s="2">
        <v>73</v>
      </c>
      <c r="J19" s="28" t="s">
        <v>108</v>
      </c>
      <c r="K19" s="19"/>
      <c r="L19" s="19"/>
      <c r="M19" s="19"/>
      <c r="N19" s="19"/>
      <c r="O19" s="19"/>
      <c r="P19" s="20"/>
    </row>
    <row r="20" spans="1:18" ht="14.25" customHeight="1" x14ac:dyDescent="0.35">
      <c r="A20" s="2">
        <v>139</v>
      </c>
      <c r="B20" s="2" t="s">
        <v>81</v>
      </c>
      <c r="C20" s="2" t="s">
        <v>13</v>
      </c>
      <c r="D20" s="2">
        <v>24</v>
      </c>
      <c r="E20" s="2" t="s">
        <v>69</v>
      </c>
      <c r="F20" s="2" t="s">
        <v>22</v>
      </c>
      <c r="G20" s="2">
        <v>76</v>
      </c>
      <c r="L20" s="21"/>
      <c r="M20" s="19"/>
      <c r="N20" s="19"/>
      <c r="O20" s="19"/>
      <c r="P20" s="19"/>
      <c r="Q20" s="19"/>
      <c r="R20" s="20"/>
    </row>
    <row r="21" spans="1:18" ht="14.25" customHeight="1" x14ac:dyDescent="0.35">
      <c r="A21" s="2">
        <v>140</v>
      </c>
      <c r="B21" s="2" t="s">
        <v>82</v>
      </c>
      <c r="C21" s="2" t="s">
        <v>8</v>
      </c>
      <c r="D21" s="2">
        <v>23</v>
      </c>
      <c r="E21" s="2" t="s">
        <v>21</v>
      </c>
      <c r="F21" s="2" t="s">
        <v>10</v>
      </c>
      <c r="G21" s="2">
        <v>82</v>
      </c>
    </row>
    <row r="22" spans="1:18" ht="14.25" customHeight="1" x14ac:dyDescent="0.35">
      <c r="H22" s="23"/>
      <c r="I22" s="20"/>
    </row>
    <row r="23" spans="1:18" ht="14.25" customHeight="1" x14ac:dyDescent="0.35"/>
    <row r="24" spans="1:18" ht="14.25" customHeight="1" x14ac:dyDescent="0.35"/>
    <row r="25" spans="1:18" ht="14.25" customHeight="1" x14ac:dyDescent="0.35"/>
    <row r="26" spans="1:18" ht="14.25" customHeight="1" x14ac:dyDescent="0.35"/>
    <row r="27" spans="1:18" ht="14.25" customHeight="1" x14ac:dyDescent="0.35"/>
    <row r="28" spans="1:18" ht="14.25" customHeight="1" x14ac:dyDescent="0.35"/>
    <row r="29" spans="1:18" ht="14.25" customHeight="1" x14ac:dyDescent="0.35"/>
    <row r="30" spans="1:18" ht="14.25" customHeight="1" x14ac:dyDescent="0.35"/>
    <row r="31" spans="1:18" ht="14.25" customHeight="1" x14ac:dyDescent="0.35"/>
    <row r="32" spans="1:18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1">
    <mergeCell ref="L18:P18"/>
    <mergeCell ref="J19:P19"/>
    <mergeCell ref="L20:R20"/>
    <mergeCell ref="H22:I22"/>
    <mergeCell ref="J3:L3"/>
    <mergeCell ref="L4:M4"/>
    <mergeCell ref="J13:P13"/>
    <mergeCell ref="L14:P14"/>
    <mergeCell ref="J15:P15"/>
    <mergeCell ref="L16:P16"/>
    <mergeCell ref="J17:P1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21"/>
  <sheetViews>
    <sheetView workbookViewId="0">
      <selection activeCell="G19" sqref="G19"/>
    </sheetView>
  </sheetViews>
  <sheetFormatPr defaultColWidth="14.453125" defaultRowHeight="15" customHeight="1" x14ac:dyDescent="0.35"/>
  <sheetData>
    <row r="1" spans="1:13" ht="15" customHeight="1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13" ht="15" customHeight="1" x14ac:dyDescent="0.35">
      <c r="A2" s="15">
        <v>121</v>
      </c>
      <c r="B2" s="16" t="s">
        <v>7</v>
      </c>
      <c r="C2" s="16" t="s">
        <v>8</v>
      </c>
      <c r="D2" s="15">
        <v>22</v>
      </c>
      <c r="E2" s="16" t="s">
        <v>9</v>
      </c>
      <c r="F2" s="16" t="s">
        <v>10</v>
      </c>
      <c r="G2" s="15">
        <v>55</v>
      </c>
    </row>
    <row r="3" spans="1:13" ht="15" customHeight="1" x14ac:dyDescent="0.35">
      <c r="A3" s="15">
        <v>122</v>
      </c>
      <c r="B3" s="16" t="s">
        <v>12</v>
      </c>
      <c r="C3" s="16" t="s">
        <v>13</v>
      </c>
      <c r="D3" s="15">
        <v>23</v>
      </c>
      <c r="E3" s="16" t="s">
        <v>14</v>
      </c>
      <c r="F3" s="16" t="s">
        <v>15</v>
      </c>
      <c r="G3" s="15">
        <v>63</v>
      </c>
      <c r="I3" s="17" t="s">
        <v>4</v>
      </c>
      <c r="J3" s="17" t="s">
        <v>109</v>
      </c>
      <c r="M3" s="2" t="s">
        <v>110</v>
      </c>
    </row>
    <row r="4" spans="1:13" ht="15" customHeight="1" x14ac:dyDescent="0.35">
      <c r="A4" s="15">
        <v>123</v>
      </c>
      <c r="B4" s="16" t="s">
        <v>19</v>
      </c>
      <c r="C4" s="16" t="s">
        <v>20</v>
      </c>
      <c r="D4" s="15">
        <v>24</v>
      </c>
      <c r="E4" s="16" t="s">
        <v>21</v>
      </c>
      <c r="F4" s="16" t="s">
        <v>22</v>
      </c>
      <c r="G4" s="15">
        <v>71</v>
      </c>
      <c r="I4" s="2" t="s">
        <v>14</v>
      </c>
    </row>
    <row r="5" spans="1:13" ht="15" customHeight="1" x14ac:dyDescent="0.35">
      <c r="A5" s="15">
        <v>124</v>
      </c>
      <c r="B5" s="16" t="s">
        <v>25</v>
      </c>
      <c r="C5" s="16" t="s">
        <v>26</v>
      </c>
      <c r="D5" s="15">
        <v>21</v>
      </c>
      <c r="E5" s="16" t="s">
        <v>14</v>
      </c>
      <c r="F5" s="16" t="s">
        <v>27</v>
      </c>
      <c r="G5" s="15">
        <v>68</v>
      </c>
      <c r="I5" s="2" t="s">
        <v>9</v>
      </c>
      <c r="M5" s="2" t="s">
        <v>111</v>
      </c>
    </row>
    <row r="6" spans="1:13" ht="15" customHeight="1" x14ac:dyDescent="0.35">
      <c r="A6" s="15">
        <v>125</v>
      </c>
      <c r="B6" s="16" t="s">
        <v>30</v>
      </c>
      <c r="C6" s="16" t="s">
        <v>31</v>
      </c>
      <c r="D6" s="15">
        <v>25</v>
      </c>
      <c r="E6" s="16" t="s">
        <v>32</v>
      </c>
      <c r="F6" s="16" t="s">
        <v>22</v>
      </c>
      <c r="G6" s="15">
        <v>74</v>
      </c>
      <c r="I6" s="2" t="s">
        <v>21</v>
      </c>
    </row>
    <row r="7" spans="1:13" ht="15" customHeight="1" x14ac:dyDescent="0.35">
      <c r="A7" s="15">
        <v>126</v>
      </c>
      <c r="B7" s="16" t="s">
        <v>35</v>
      </c>
      <c r="C7" s="16" t="s">
        <v>36</v>
      </c>
      <c r="D7" s="15">
        <v>24</v>
      </c>
      <c r="E7" s="16" t="s">
        <v>9</v>
      </c>
      <c r="F7" s="16" t="s">
        <v>27</v>
      </c>
      <c r="G7" s="15">
        <v>81</v>
      </c>
      <c r="I7" s="16" t="s">
        <v>32</v>
      </c>
      <c r="M7" s="2" t="s">
        <v>112</v>
      </c>
    </row>
    <row r="8" spans="1:13" ht="15" customHeight="1" x14ac:dyDescent="0.35">
      <c r="A8" s="15">
        <v>127</v>
      </c>
      <c r="B8" s="16" t="s">
        <v>39</v>
      </c>
      <c r="C8" s="16" t="s">
        <v>40</v>
      </c>
      <c r="D8" s="15">
        <v>23</v>
      </c>
      <c r="E8" s="16" t="s">
        <v>14</v>
      </c>
      <c r="F8" s="16" t="s">
        <v>10</v>
      </c>
      <c r="G8" s="15">
        <v>83</v>
      </c>
      <c r="I8" s="2" t="s">
        <v>69</v>
      </c>
    </row>
    <row r="9" spans="1:13" ht="15" customHeight="1" x14ac:dyDescent="0.35">
      <c r="A9" s="15">
        <v>128</v>
      </c>
      <c r="B9" s="16" t="s">
        <v>44</v>
      </c>
      <c r="C9" s="16" t="s">
        <v>20</v>
      </c>
      <c r="D9" s="15">
        <v>24</v>
      </c>
      <c r="E9" s="16" t="s">
        <v>32</v>
      </c>
      <c r="F9" s="16" t="s">
        <v>15</v>
      </c>
      <c r="G9" s="15">
        <v>80</v>
      </c>
      <c r="M9" s="2" t="s">
        <v>113</v>
      </c>
    </row>
    <row r="10" spans="1:13" ht="15" customHeight="1" x14ac:dyDescent="0.35">
      <c r="A10" s="15">
        <v>129</v>
      </c>
      <c r="B10" s="16" t="s">
        <v>51</v>
      </c>
      <c r="C10" s="16" t="s">
        <v>52</v>
      </c>
      <c r="D10" s="15">
        <v>25</v>
      </c>
      <c r="E10" s="16" t="s">
        <v>21</v>
      </c>
      <c r="F10" s="16" t="s">
        <v>53</v>
      </c>
      <c r="G10" s="15">
        <v>74</v>
      </c>
    </row>
    <row r="11" spans="1:13" ht="15" customHeight="1" x14ac:dyDescent="0.35">
      <c r="A11" s="15">
        <v>130</v>
      </c>
      <c r="B11" s="16" t="s">
        <v>57</v>
      </c>
      <c r="C11" s="16"/>
      <c r="D11" s="15">
        <v>27</v>
      </c>
      <c r="E11" s="16" t="s">
        <v>14</v>
      </c>
      <c r="F11" s="16" t="s">
        <v>27</v>
      </c>
      <c r="G11" s="15">
        <v>47</v>
      </c>
    </row>
    <row r="12" spans="1:13" ht="15" customHeight="1" x14ac:dyDescent="0.35">
      <c r="A12" s="15">
        <v>131</v>
      </c>
      <c r="B12" s="16" t="s">
        <v>61</v>
      </c>
      <c r="C12" s="16" t="s">
        <v>8</v>
      </c>
      <c r="D12" s="15">
        <v>28</v>
      </c>
      <c r="E12" s="16" t="s">
        <v>21</v>
      </c>
      <c r="F12" s="16" t="s">
        <v>53</v>
      </c>
      <c r="G12" s="15">
        <v>91</v>
      </c>
      <c r="I12" s="17" t="s">
        <v>5</v>
      </c>
      <c r="J12" s="17" t="s">
        <v>109</v>
      </c>
    </row>
    <row r="13" spans="1:13" ht="15" customHeight="1" x14ac:dyDescent="0.35">
      <c r="A13" s="15">
        <v>132</v>
      </c>
      <c r="B13" s="16" t="s">
        <v>62</v>
      </c>
      <c r="C13" s="16" t="s">
        <v>63</v>
      </c>
      <c r="D13" s="15">
        <v>26</v>
      </c>
      <c r="E13" s="16" t="s">
        <v>32</v>
      </c>
      <c r="F13" s="16" t="s">
        <v>27</v>
      </c>
      <c r="G13" s="15">
        <v>72</v>
      </c>
      <c r="I13" s="2" t="s">
        <v>10</v>
      </c>
    </row>
    <row r="14" spans="1:13" ht="15" customHeight="1" x14ac:dyDescent="0.35">
      <c r="A14" s="15">
        <v>133</v>
      </c>
      <c r="B14" s="16" t="s">
        <v>65</v>
      </c>
      <c r="C14" s="16" t="s">
        <v>66</v>
      </c>
      <c r="D14" s="15">
        <v>23</v>
      </c>
      <c r="E14" s="16" t="s">
        <v>9</v>
      </c>
      <c r="F14" s="16" t="s">
        <v>22</v>
      </c>
      <c r="G14" s="15">
        <v>87</v>
      </c>
      <c r="I14" s="2" t="s">
        <v>15</v>
      </c>
    </row>
    <row r="15" spans="1:13" ht="15" customHeight="1" x14ac:dyDescent="0.35">
      <c r="A15" s="15">
        <v>134</v>
      </c>
      <c r="B15" s="16" t="s">
        <v>67</v>
      </c>
      <c r="C15" s="16" t="s">
        <v>68</v>
      </c>
      <c r="D15" s="15">
        <v>22</v>
      </c>
      <c r="E15" s="16" t="s">
        <v>21</v>
      </c>
      <c r="F15" s="16" t="s">
        <v>15</v>
      </c>
      <c r="G15" s="15">
        <v>79</v>
      </c>
      <c r="I15" s="2" t="s">
        <v>22</v>
      </c>
    </row>
    <row r="16" spans="1:13" ht="15" customHeight="1" x14ac:dyDescent="0.35">
      <c r="A16" s="15">
        <v>135</v>
      </c>
      <c r="B16" s="16" t="s">
        <v>71</v>
      </c>
      <c r="C16" s="16"/>
      <c r="D16" s="15">
        <v>24</v>
      </c>
      <c r="E16" s="16" t="s">
        <v>9</v>
      </c>
      <c r="F16" s="16" t="s">
        <v>27</v>
      </c>
      <c r="G16" s="15">
        <v>81</v>
      </c>
      <c r="I16" s="2" t="s">
        <v>27</v>
      </c>
    </row>
    <row r="17" spans="1:9" ht="15" customHeight="1" x14ac:dyDescent="0.35">
      <c r="A17" s="15">
        <v>136</v>
      </c>
      <c r="B17" s="16" t="s">
        <v>72</v>
      </c>
      <c r="C17" s="16" t="s">
        <v>73</v>
      </c>
      <c r="D17" s="15">
        <v>25</v>
      </c>
      <c r="E17" s="16" t="s">
        <v>14</v>
      </c>
      <c r="F17" s="16" t="s">
        <v>10</v>
      </c>
      <c r="G17" s="15">
        <v>56</v>
      </c>
      <c r="I17" s="2" t="s">
        <v>53</v>
      </c>
    </row>
    <row r="18" spans="1:9" ht="15" customHeight="1" x14ac:dyDescent="0.35">
      <c r="A18" s="15">
        <v>137</v>
      </c>
      <c r="B18" s="16" t="s">
        <v>75</v>
      </c>
      <c r="C18" s="16" t="s">
        <v>63</v>
      </c>
      <c r="D18" s="15">
        <v>21</v>
      </c>
      <c r="E18" s="16" t="s">
        <v>32</v>
      </c>
      <c r="F18" s="16" t="s">
        <v>27</v>
      </c>
      <c r="G18" s="15">
        <v>49</v>
      </c>
    </row>
    <row r="19" spans="1:9" ht="14.5" x14ac:dyDescent="0.35">
      <c r="A19" s="15">
        <v>138</v>
      </c>
      <c r="B19" s="16" t="s">
        <v>77</v>
      </c>
      <c r="C19" s="16" t="s">
        <v>8</v>
      </c>
      <c r="D19" s="15">
        <v>26</v>
      </c>
      <c r="E19" s="16" t="s">
        <v>69</v>
      </c>
      <c r="F19" s="16" t="s">
        <v>10</v>
      </c>
      <c r="G19" s="15">
        <v>73</v>
      </c>
    </row>
    <row r="20" spans="1:9" ht="14.5" x14ac:dyDescent="0.35">
      <c r="A20" s="15">
        <v>139</v>
      </c>
      <c r="B20" s="16" t="s">
        <v>81</v>
      </c>
      <c r="C20" s="16" t="s">
        <v>13</v>
      </c>
      <c r="D20" s="15">
        <v>24</v>
      </c>
      <c r="E20" s="16" t="s">
        <v>69</v>
      </c>
      <c r="F20" s="16" t="s">
        <v>22</v>
      </c>
      <c r="G20" s="15">
        <v>76</v>
      </c>
    </row>
    <row r="21" spans="1:9" ht="14.5" x14ac:dyDescent="0.35">
      <c r="A21" s="15">
        <v>140</v>
      </c>
      <c r="B21" s="16" t="s">
        <v>82</v>
      </c>
      <c r="C21" s="16" t="s">
        <v>8</v>
      </c>
      <c r="D21" s="15">
        <v>23</v>
      </c>
      <c r="E21" s="16" t="s">
        <v>21</v>
      </c>
      <c r="F21" s="16" t="s">
        <v>10</v>
      </c>
      <c r="G21" s="15">
        <v>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f40487-557d-4477-b74c-ff1a9412aec3}" enabled="1" method="Standard" siteId="{ffe29a5e-55b5-40eb-9e32-8e24e056c3e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Ex1</vt:lpstr>
      <vt:lpstr>Ex2</vt:lpstr>
      <vt:lpstr>Ex3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Tiwary</dc:creator>
  <cp:lastModifiedBy>Rentala Bharadwaj</cp:lastModifiedBy>
  <dcterms:created xsi:type="dcterms:W3CDTF">2025-02-01T03:05:08Z</dcterms:created>
  <dcterms:modified xsi:type="dcterms:W3CDTF">2026-09-02T17:47:45Z</dcterms:modified>
</cp:coreProperties>
</file>